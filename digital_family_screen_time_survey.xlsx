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1 Top Mentor Data Analyst Classes\Batch 130_Assignment 1 - Ekta Joshi\"/>
    </mc:Choice>
  </mc:AlternateContent>
  <xr:revisionPtr revIDLastSave="0" documentId="13_ncr:1_{5DA4672E-60E0-4E0A-9A12-FF24849634D1}" xr6:coauthVersionLast="47" xr6:coauthVersionMax="47" xr10:uidLastSave="{00000000-0000-0000-0000-000000000000}"/>
  <bookViews>
    <workbookView xWindow="-108" yWindow="-108" windowWidth="23256" windowHeight="12456" activeTab="1" xr2:uid="{396F1A54-E121-44A4-B5C1-3EA3896CB936}"/>
  </bookViews>
  <sheets>
    <sheet name="Section 1 - Clean Data" sheetId="1" r:id="rId1"/>
    <sheet name="Section 2 - Analyze" sheetId="2" r:id="rId2"/>
    <sheet name="Section 3 - Charts" sheetId="4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3" i="2" l="1"/>
  <c r="G13" i="2"/>
  <c r="D13" i="2"/>
  <c r="J2" i="2"/>
  <c r="G2" i="2"/>
  <c r="D2" i="2"/>
</calcChain>
</file>

<file path=xl/sharedStrings.xml><?xml version="1.0" encoding="utf-8"?>
<sst xmlns="http://schemas.openxmlformats.org/spreadsheetml/2006/main" count="369" uniqueCount="143">
  <si>
    <t>No.</t>
  </si>
  <si>
    <t>Name</t>
  </si>
  <si>
    <t>Age Group</t>
  </si>
  <si>
    <t>Role in Family</t>
  </si>
  <si>
    <t>Occupation / School Grade</t>
  </si>
  <si>
    <t>Total Screen Time (hrs/day)</t>
  </si>
  <si>
    <t>Work/Study (hrs)</t>
  </si>
  <si>
    <t>Entertainment (hrs)</t>
  </si>
  <si>
    <t>Social Media (hrs)</t>
  </si>
  <si>
    <t>Gaming (hrs)</t>
  </si>
  <si>
    <t>Devices Used</t>
  </si>
  <si>
    <t>After 9 PM?</t>
  </si>
  <si>
    <t>Too Much?</t>
  </si>
  <si>
    <t>Sleep Affected?</t>
  </si>
  <si>
    <t>Want to Reduce?</t>
  </si>
  <si>
    <t>What Do You Miss?</t>
  </si>
  <si>
    <t>Aarav</t>
  </si>
  <si>
    <t>Under 10</t>
  </si>
  <si>
    <t>Child</t>
  </si>
  <si>
    <t>Grade 4 Student</t>
  </si>
  <si>
    <t>Tablet, TV</t>
  </si>
  <si>
    <t>Yes</t>
  </si>
  <si>
    <t>No</t>
  </si>
  <si>
    <t>Not Sure</t>
  </si>
  <si>
    <t>Outdoor play</t>
  </si>
  <si>
    <t>Meera</t>
  </si>
  <si>
    <t>11–18</t>
  </si>
  <si>
    <t>Sibling</t>
  </si>
  <si>
    <t>Grade 11 Student</t>
  </si>
  <si>
    <t>Mobile, Laptop</t>
  </si>
  <si>
    <t>Sports practice</t>
  </si>
  <si>
    <t>Rohan</t>
  </si>
  <si>
    <t>19–30</t>
  </si>
  <si>
    <t>Parent</t>
  </si>
  <si>
    <t>Software Engineer</t>
  </si>
  <si>
    <t>Laptop, Mobile</t>
  </si>
  <si>
    <t>Family time</t>
  </si>
  <si>
    <t>Priya</t>
  </si>
  <si>
    <t>31–50</t>
  </si>
  <si>
    <t>School Teacher</t>
  </si>
  <si>
    <t>Laptop, TV</t>
  </si>
  <si>
    <t>Reading books</t>
  </si>
  <si>
    <t>Suresh</t>
  </si>
  <si>
    <t>51+</t>
  </si>
  <si>
    <t>Grandparent</t>
  </si>
  <si>
    <t>Retired Bank Manager</t>
  </si>
  <si>
    <t>TV, Mobile</t>
  </si>
  <si>
    <t>Morning walks</t>
  </si>
  <si>
    <t>Ananya</t>
  </si>
  <si>
    <t>MBA Student</t>
  </si>
  <si>
    <t>Sleep</t>
  </si>
  <si>
    <t>Karthik</t>
  </si>
  <si>
    <t>Business Owner</t>
  </si>
  <si>
    <t>Exercise</t>
  </si>
  <si>
    <t>Kavya</t>
  </si>
  <si>
    <t>Grade 9 Student</t>
  </si>
  <si>
    <t>Mobile, Tablet</t>
  </si>
  <si>
    <t>Drawing</t>
  </si>
  <si>
    <t>Sunita</t>
  </si>
  <si>
    <t>Homemaker</t>
  </si>
  <si>
    <t>Gardening</t>
  </si>
  <si>
    <t>Arjun</t>
  </si>
  <si>
    <t>Cousin</t>
  </si>
  <si>
    <t>Marketing Executive</t>
  </si>
  <si>
    <t>Gym time</t>
  </si>
  <si>
    <t>Ishita</t>
  </si>
  <si>
    <t>Grade 10 Student</t>
  </si>
  <si>
    <t>Cycling</t>
  </si>
  <si>
    <t>Manish</t>
  </si>
  <si>
    <t>Govt Officer</t>
  </si>
  <si>
    <t>Walks</t>
  </si>
  <si>
    <t>Nisha</t>
  </si>
  <si>
    <t>Fashion Designer</t>
  </si>
  <si>
    <t>Social outings</t>
  </si>
  <si>
    <t>Rajesh</t>
  </si>
  <si>
    <t>Retired Teacher</t>
  </si>
  <si>
    <t>Reading</t>
  </si>
  <si>
    <t>Dev</t>
  </si>
  <si>
    <t>Grade 2 Student</t>
  </si>
  <si>
    <t>Aditi</t>
  </si>
  <si>
    <t>Doctor</t>
  </si>
  <si>
    <t>Meditation</t>
  </si>
  <si>
    <t>Tanvi</t>
  </si>
  <si>
    <t>Chartered Accountant</t>
  </si>
  <si>
    <t>Cooking</t>
  </si>
  <si>
    <t>Ajay</t>
  </si>
  <si>
    <t>Farmer</t>
  </si>
  <si>
    <t>Mobile, TV</t>
  </si>
  <si>
    <t>Farming</t>
  </si>
  <si>
    <t>Neha</t>
  </si>
  <si>
    <t>Grade 8 Student</t>
  </si>
  <si>
    <t>Dance practice</t>
  </si>
  <si>
    <t>Varun</t>
  </si>
  <si>
    <t>Civil Engineer</t>
  </si>
  <si>
    <t>Ritu</t>
  </si>
  <si>
    <t>HR Manager</t>
  </si>
  <si>
    <t>Harish</t>
  </si>
  <si>
    <t>Retired Army Officer</t>
  </si>
  <si>
    <t>Pooja</t>
  </si>
  <si>
    <t>Aunt</t>
  </si>
  <si>
    <t>Graphic Designer</t>
  </si>
  <si>
    <t>Gaurav</t>
  </si>
  <si>
    <t>Shop Owner</t>
  </si>
  <si>
    <t>Rakesh</t>
  </si>
  <si>
    <t>Retired Postmaster</t>
  </si>
  <si>
    <t>Social gatherings</t>
  </si>
  <si>
    <t>Sneha</t>
  </si>
  <si>
    <t>Grade 12 Student</t>
  </si>
  <si>
    <t>Sports</t>
  </si>
  <si>
    <t>Om</t>
  </si>
  <si>
    <t>Grade 1 Student</t>
  </si>
  <si>
    <t>Playing outside</t>
  </si>
  <si>
    <t>Deepa</t>
  </si>
  <si>
    <t>Lawyer</t>
  </si>
  <si>
    <t>Mohan</t>
  </si>
  <si>
    <t>Retired Doctor</t>
  </si>
  <si>
    <t>Volunteering</t>
  </si>
  <si>
    <t>Shreya</t>
  </si>
  <si>
    <t>Content Writer</t>
  </si>
  <si>
    <t>Travel</t>
  </si>
  <si>
    <t>Average Screen Time (hrs/day)</t>
  </si>
  <si>
    <t>1. Average Screen Time by Age Group</t>
  </si>
  <si>
    <t>2. Work/Study vs Entertainment Screen Time</t>
  </si>
  <si>
    <t>Average Work/Study Time:</t>
  </si>
  <si>
    <t>Average Entertainment Time:</t>
  </si>
  <si>
    <t>Column1</t>
  </si>
  <si>
    <t>Column2</t>
  </si>
  <si>
    <r>
      <t>19 out of 30 people</t>
    </r>
    <r>
      <rPr>
        <sz val="11"/>
        <color theme="1"/>
        <rFont val="Calibri"/>
        <family val="2"/>
        <scheme val="minor"/>
      </rPr>
      <t xml:space="preserve"> (63%)</t>
    </r>
  </si>
  <si>
    <r>
      <t>14 out of 30 people</t>
    </r>
    <r>
      <rPr>
        <sz val="11"/>
        <color theme="1"/>
        <rFont val="Calibri"/>
        <family val="2"/>
        <scheme val="minor"/>
      </rPr>
      <t xml:space="preserve"> (47%)</t>
    </r>
  </si>
  <si>
    <t>Mobile</t>
  </si>
  <si>
    <t>Laptop</t>
  </si>
  <si>
    <t>TV</t>
  </si>
  <si>
    <t>Tablet</t>
  </si>
  <si>
    <t>Under 10 AVG</t>
  </si>
  <si>
    <t>Average of Age Group (11-18)</t>
  </si>
  <si>
    <t>Average of Age Group (19-30)</t>
  </si>
  <si>
    <t>People using screens after 9</t>
  </si>
  <si>
    <t>Avg. Time for Work</t>
  </si>
  <si>
    <t>Avg. Time for Entertainment</t>
  </si>
  <si>
    <t>Dashboard For Screen Time Habits in the Digital Family</t>
  </si>
  <si>
    <t>No. of People</t>
  </si>
  <si>
    <t>People Using Screens After 9 PM</t>
  </si>
  <si>
    <t>People Who Feel Screen Time Affects Sleep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</si>
</sst>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Calibri"/>
      <family val="1"/>
      <charset val="2"/>
    </font>
    <font>
      <b/>
      <sz val="2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/>
    <xf numFmtId="0" fontId="1" fillId="0" borderId="0" xfId="0" applyFont="1" applyAlignment="1">
      <alignment vertical="center" wrapText="1"/>
    </xf>
    <xf numFmtId="0" fontId="0" fillId="2" borderId="0" xfId="0" applyFill="1"/>
    <xf numFmtId="0" fontId="2" fillId="2" borderId="0" xfId="0" applyFont="1" applyFill="1"/>
    <xf numFmtId="0" fontId="1" fillId="3" borderId="0" xfId="0" applyFont="1" applyFill="1" applyAlignment="1">
      <alignment horizontal="center" vertical="center" wrapText="1"/>
    </xf>
    <xf numFmtId="0" fontId="1" fillId="3" borderId="0" xfId="0" applyFont="1" applyFill="1"/>
    <xf numFmtId="0" fontId="0" fillId="3" borderId="0" xfId="0" applyFill="1" applyAlignment="1">
      <alignment vertical="center" wrapText="1"/>
    </xf>
    <xf numFmtId="0" fontId="0" fillId="3" borderId="0" xfId="0" applyFill="1"/>
    <xf numFmtId="17" fontId="1" fillId="3" borderId="0" xfId="0" applyNumberFormat="1" applyFont="1" applyFill="1"/>
    <xf numFmtId="0" fontId="3" fillId="4" borderId="0" xfId="0" applyFont="1" applyFill="1"/>
    <xf numFmtId="0" fontId="0" fillId="4" borderId="0" xfId="0" applyFill="1"/>
    <xf numFmtId="0" fontId="2" fillId="5" borderId="0" xfId="0" applyFont="1" applyFill="1"/>
    <xf numFmtId="0" fontId="4" fillId="2" borderId="0" xfId="0" applyFont="1" applyFill="1"/>
    <xf numFmtId="0" fontId="5" fillId="2" borderId="0" xfId="0" applyFont="1" applyFill="1"/>
    <xf numFmtId="0" fontId="2" fillId="2" borderId="1" xfId="0" applyFont="1" applyFill="1" applyBorder="1"/>
    <xf numFmtId="9" fontId="0" fillId="0" borderId="0" xfId="0" applyNumberFormat="1"/>
    <xf numFmtId="0" fontId="1" fillId="6" borderId="0" xfId="0" applyFont="1" applyFill="1" applyAlignment="1">
      <alignment horizontal="center" vertical="center" wrapText="1"/>
    </xf>
    <xf numFmtId="0" fontId="0" fillId="6" borderId="0" xfId="0" applyFill="1"/>
    <xf numFmtId="2" fontId="0" fillId="3" borderId="0" xfId="0" applyNumberFormat="1" applyFill="1"/>
  </cellXfs>
  <cellStyles count="1">
    <cellStyle name="Normal" xfId="0" builtinId="0"/>
  </cellStyles>
  <dxfs count="2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7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ill>
        <patternFill patternType="solid">
          <fgColor indexed="64"/>
          <bgColor theme="4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7" tint="0.39997558519241921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Screen Time</a:t>
            </a:r>
            <a:r>
              <a:rPr lang="en-IN" b="1" baseline="0"/>
              <a:t> By Age Group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'Section 2 - Analyze'!$B$2</c:f>
              <c:strCache>
                <c:ptCount val="1"/>
                <c:pt idx="0">
                  <c:v>Average Screen Time (hrs/day)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'Section 2 - Analyze'!$A$3:$A$7</c:f>
              <c:strCache>
                <c:ptCount val="5"/>
                <c:pt idx="0">
                  <c:v>Under 10</c:v>
                </c:pt>
                <c:pt idx="1">
                  <c:v>11–18</c:v>
                </c:pt>
                <c:pt idx="2">
                  <c:v>19–30</c:v>
                </c:pt>
                <c:pt idx="3">
                  <c:v>31–50</c:v>
                </c:pt>
                <c:pt idx="4">
                  <c:v>51+</c:v>
                </c:pt>
              </c:strCache>
            </c:strRef>
          </c:cat>
          <c:val>
            <c:numRef>
              <c:f>'Section 2 - Analyze'!$B$3:$B$7</c:f>
              <c:numCache>
                <c:formatCode>General</c:formatCode>
                <c:ptCount val="5"/>
                <c:pt idx="0">
                  <c:v>2.5</c:v>
                </c:pt>
                <c:pt idx="1">
                  <c:v>5.8</c:v>
                </c:pt>
                <c:pt idx="2">
                  <c:v>8.31</c:v>
                </c:pt>
                <c:pt idx="3">
                  <c:v>6.07</c:v>
                </c:pt>
                <c:pt idx="4">
                  <c:v>3.43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A9-4505-BF37-1B0EBF1E7BF4}"/>
            </c:ext>
          </c:extLst>
        </c:ser>
        <c:ser>
          <c:idx val="1"/>
          <c:order val="1"/>
          <c:tx>
            <c:strRef>
              <c:f>'Section 2 - Analyze'!$C$2</c:f>
              <c:strCache>
                <c:ptCount val="1"/>
                <c:pt idx="0">
                  <c:v>Under 10 AVG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'Section 2 - Analyze'!$A$3:$A$7</c:f>
              <c:strCache>
                <c:ptCount val="5"/>
                <c:pt idx="0">
                  <c:v>Under 10</c:v>
                </c:pt>
                <c:pt idx="1">
                  <c:v>11–18</c:v>
                </c:pt>
                <c:pt idx="2">
                  <c:v>19–30</c:v>
                </c:pt>
                <c:pt idx="3">
                  <c:v>31–50</c:v>
                </c:pt>
                <c:pt idx="4">
                  <c:v>51+</c:v>
                </c:pt>
              </c:strCache>
            </c:strRef>
          </c:cat>
          <c:val>
            <c:numRef>
              <c:f>'Section 2 - Analyze'!$C$3:$C$7</c:f>
              <c:numCache>
                <c:formatCode>General</c:formatCode>
                <c:ptCount val="5"/>
                <c:pt idx="0">
                  <c:v>3</c:v>
                </c:pt>
                <c:pt idx="1">
                  <c:v>2.5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78-4B83-A834-FD16ED2619B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18495439"/>
        <c:axId val="1848145455"/>
      </c:barChart>
      <c:catAx>
        <c:axId val="1518495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8145455"/>
        <c:crosses val="autoZero"/>
        <c:auto val="1"/>
        <c:lblAlgn val="ctr"/>
        <c:lblOffset val="100"/>
        <c:noMultiLvlLbl val="0"/>
      </c:catAx>
      <c:valAx>
        <c:axId val="1848145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84954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effectLst/>
              </a:rPr>
              <a:t>Work Vs. Entertainment Screen Time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'Section 2 - Analyze'!$F$12:$G$12</c:f>
              <c:strCache>
                <c:ptCount val="2"/>
                <c:pt idx="0">
                  <c:v>Avg. Time for Work</c:v>
                </c:pt>
                <c:pt idx="1">
                  <c:v>Avg. Time for Entertainment</c:v>
                </c:pt>
              </c:strCache>
            </c:strRef>
          </c:cat>
          <c:val>
            <c:numRef>
              <c:f>'Section 2 - Analyze'!$F$13:$G$13</c:f>
              <c:numCache>
                <c:formatCode>0.00</c:formatCode>
                <c:ptCount val="2"/>
                <c:pt idx="0" formatCode="General">
                  <c:v>2.9</c:v>
                </c:pt>
                <c:pt idx="1">
                  <c:v>1.3233333333333335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24-4C3E-89C4-E329963C37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15428831"/>
        <c:axId val="1515437951"/>
      </c:barChart>
      <c:catAx>
        <c:axId val="1515428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5437951"/>
        <c:crosses val="autoZero"/>
        <c:auto val="1"/>
        <c:lblAlgn val="ctr"/>
        <c:lblOffset val="100"/>
        <c:noMultiLvlLbl val="0"/>
      </c:catAx>
      <c:valAx>
        <c:axId val="1515437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54288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Number of People Using Devices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'Section 2 - Analyze'!$B$20</c:f>
              <c:strCache>
                <c:ptCount val="1"/>
                <c:pt idx="0">
                  <c:v>No. of People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8D2-4162-BF87-F2D0E9CAA25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8D2-4162-BF87-F2D0E9CAA25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8D2-4162-BF87-F2D0E9CAA25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8D2-4162-BF87-F2D0E9CAA25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'Section 2 - Analyze'!$A$21:$A$24</c:f>
              <c:strCache>
                <c:ptCount val="4"/>
                <c:pt idx="0">
                  <c:v>Mobile</c:v>
                </c:pt>
                <c:pt idx="1">
                  <c:v>Laptop</c:v>
                </c:pt>
                <c:pt idx="2">
                  <c:v>TV</c:v>
                </c:pt>
                <c:pt idx="3">
                  <c:v>Tablet</c:v>
                </c:pt>
              </c:strCache>
            </c:strRef>
          </c:cat>
          <c:val>
            <c:numRef>
              <c:f>'Section 2 - Analyze'!$B$21:$B$24</c:f>
              <c:numCache>
                <c:formatCode>General</c:formatCode>
                <c:ptCount val="4"/>
                <c:pt idx="0">
                  <c:v>24</c:v>
                </c:pt>
                <c:pt idx="1">
                  <c:v>16</c:v>
                </c:pt>
                <c:pt idx="2">
                  <c:v>14</c:v>
                </c:pt>
                <c:pt idx="3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8D2-4162-BF87-F2D0E9CAA255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effectLst/>
              </a:rPr>
              <a:t>Screen Time Vs. Sleep Impact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strRef>
              <c:f>'Section 2 - Analyze'!$F$16:$G$16</c:f>
              <c:strCache>
                <c:ptCount val="2"/>
                <c:pt idx="0">
                  <c:v>People Using Screens After 9 PM</c:v>
                </c:pt>
                <c:pt idx="1">
                  <c:v>People Who Feel Screen Time Affects Sleep</c:v>
                </c:pt>
              </c:strCache>
            </c:strRef>
          </c:xVal>
          <c:yVal>
            <c:numRef>
              <c:f>'Section 2 - Analyze'!$F$17:$G$17</c:f>
              <c:numCache>
                <c:formatCode>0%</c:formatCode>
                <c:ptCount val="2"/>
                <c:pt idx="0">
                  <c:v>0.63</c:v>
                </c:pt>
                <c:pt idx="1">
                  <c:v>0.47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D36-437F-8235-4ED7BDFB299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158485151"/>
        <c:axId val="1158485631"/>
      </c:scatterChart>
      <c:valAx>
        <c:axId val="1158485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8485631"/>
        <c:crosses val="autoZero"/>
        <c:crossBetween val="midCat"/>
      </c:valAx>
      <c:valAx>
        <c:axId val="1158485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84851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30480</xdr:rowOff>
    </xdr:from>
    <xdr:to>
      <xdr:col>4</xdr:col>
      <xdr:colOff>594360</xdr:colOff>
      <xdr:row>12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BF87C0-7FE8-474E-B3F6-33F96CB852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53340</xdr:colOff>
      <xdr:row>2</xdr:row>
      <xdr:rowOff>30480</xdr:rowOff>
    </xdr:from>
    <xdr:to>
      <xdr:col>11</xdr:col>
      <xdr:colOff>510540</xdr:colOff>
      <xdr:row>12</xdr:row>
      <xdr:rowOff>15240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92CA984-B9F8-43FB-81B0-E2BDEE800D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14</xdr:row>
      <xdr:rowOff>0</xdr:rowOff>
    </xdr:from>
    <xdr:to>
      <xdr:col>4</xdr:col>
      <xdr:colOff>556260</xdr:colOff>
      <xdr:row>24</xdr:row>
      <xdr:rowOff>60960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F67749F-B774-4903-9109-FA74330375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0</xdr:colOff>
      <xdr:row>14</xdr:row>
      <xdr:rowOff>0</xdr:rowOff>
    </xdr:from>
    <xdr:to>
      <xdr:col>11</xdr:col>
      <xdr:colOff>533400</xdr:colOff>
      <xdr:row>24</xdr:row>
      <xdr:rowOff>83820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A8622AB-64E5-432F-B702-1623E4A2B5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3053EC-D753-42A6-B6A9-8E4CFBD7C179}" name="Table1" displayName="Table1" ref="A1:P31" totalsRowShown="0" headerRowDxfId="27" dataDxfId="26">
  <autoFilter ref="A1:P31" xr:uid="{4D3053EC-D753-42A6-B6A9-8E4CFBD7C179}">
    <filterColumn colId="11">
      <filters>
        <filter val="Yes"/>
      </filters>
    </filterColumn>
  </autoFilter>
  <tableColumns count="16">
    <tableColumn id="1" xr3:uid="{1636DBB9-3E73-4245-A55C-34C66E88C332}" name="No." dataDxfId="25"/>
    <tableColumn id="2" xr3:uid="{13A5FF54-F62D-473B-B9BA-F821DCEAFC29}" name="Name" dataDxfId="24"/>
    <tableColumn id="3" xr3:uid="{6980ADA9-93F2-4E95-BADA-09D98EED975A}" name="Age Group" dataDxfId="23"/>
    <tableColumn id="4" xr3:uid="{2DC52B6D-1415-4CB8-AB39-6C8A6B45BF38}" name="Role in Family" dataDxfId="22"/>
    <tableColumn id="5" xr3:uid="{E1DB44AC-32E2-4FEE-90B1-0AB92A207BBE}" name="Occupation / School Grade" dataDxfId="21"/>
    <tableColumn id="6" xr3:uid="{E97F3E76-3E01-49C7-827F-A4575EBDBD78}" name="Total Screen Time (hrs/day)" dataDxfId="20"/>
    <tableColumn id="7" xr3:uid="{799D3AFE-F8A3-41F5-B1EA-A2C8ABE0A322}" name="Work/Study (hrs)" dataDxfId="19"/>
    <tableColumn id="8" xr3:uid="{321ABFB5-25A8-4A04-835E-B1CFC985ED5D}" name="Entertainment (hrs)" dataDxfId="18"/>
    <tableColumn id="9" xr3:uid="{D4485451-BC67-4510-9C39-5600B96C62A0}" name="Social Media (hrs)" dataDxfId="17"/>
    <tableColumn id="10" xr3:uid="{85D82E0C-3FB6-4C76-B310-3A19F1105503}" name="Gaming (hrs)" dataDxfId="16"/>
    <tableColumn id="11" xr3:uid="{56F26C18-DF23-4EB9-B2E1-C01D34C8AB69}" name="Devices Used" dataDxfId="15"/>
    <tableColumn id="12" xr3:uid="{0CF05FFB-D5C0-4E31-B44D-023E20D7E00A}" name="After 9 PM?" dataDxfId="14"/>
    <tableColumn id="13" xr3:uid="{86E6C7F1-F0D3-4584-8D69-0DD1F771072A}" name="Too Much?" dataDxfId="13"/>
    <tableColumn id="14" xr3:uid="{A350A04F-B103-4B2A-A3F5-5D2D06C8867F}" name="Sleep Affected?" dataDxfId="12"/>
    <tableColumn id="15" xr3:uid="{A227D313-EF31-419F-A27B-C3A73D7E606B}" name="Want to Reduce?" dataDxfId="11"/>
    <tableColumn id="16" xr3:uid="{DE443BC3-1694-4F48-B0FC-9AF37B72D6EA}" name="What Do You Miss?" dataDxfId="1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9E811E6-307D-4F24-A4BD-C8814F5A1F1A}" name="Table2" displayName="Table2" ref="A2:C7" totalsRowShown="0" headerRowDxfId="9">
  <autoFilter ref="A2:C7" xr:uid="{C9E811E6-307D-4F24-A4BD-C8814F5A1F1A}"/>
  <tableColumns count="3">
    <tableColumn id="1" xr3:uid="{02F74D8B-AD4F-4031-B6F0-98488F94BAD6}" name="Age Group" dataDxfId="8"/>
    <tableColumn id="2" xr3:uid="{16F1EE43-851E-43F1-A318-6AD199B1B0C5}" name="Average Screen Time (hrs/day)" dataDxfId="7"/>
    <tableColumn id="3" xr3:uid="{18B9DB98-4FE8-4E65-BDEF-D6936F7B6FF2}" name="Under 10 AVG" dataDxfId="6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71D7234-71EA-4C5F-8509-949191B43FFE}" name="Table4" displayName="Table4" ref="A10:B12" totalsRowShown="0" headerRowDxfId="5" dataDxfId="4">
  <autoFilter ref="A10:B12" xr:uid="{B71D7234-71EA-4C5F-8509-949191B43FFE}"/>
  <tableColumns count="2">
    <tableColumn id="1" xr3:uid="{0B2F1269-23E5-4852-9ACC-A0A2B9D79C8F}" name="Column1" dataDxfId="3"/>
    <tableColumn id="2" xr3:uid="{11156F3E-FEE5-4C6D-874F-EFE0C814AF66}" name="Column2" dataDxfId="2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A3EA45A-1417-40E6-B03B-307D08D4E5D7}" name="Table3" displayName="Table3" ref="A14:B16" totalsRowShown="0">
  <autoFilter ref="A14:B16" xr:uid="{1A3EA45A-1417-40E6-B03B-307D08D4E5D7}"/>
  <tableColumns count="2">
    <tableColumn id="1" xr3:uid="{883D8ACA-DE75-4807-BC67-A48F5FA96EF2}" name="Column1" dataDxfId="1"/>
    <tableColumn id="2" xr3:uid="{76949D53-DFB3-4326-8007-F475353166D6}" name="Column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CCC99-EE4C-4B58-A9B8-D474F682BFEC}">
  <dimension ref="A1:P31"/>
  <sheetViews>
    <sheetView workbookViewId="0">
      <selection activeCell="K33" sqref="K33"/>
    </sheetView>
  </sheetViews>
  <sheetFormatPr defaultRowHeight="14.4"/>
  <cols>
    <col min="1" max="1" width="8.44140625" bestFit="1" customWidth="1"/>
    <col min="2" max="2" width="10.44140625" bestFit="1" customWidth="1"/>
    <col min="3" max="3" width="14.33203125" bestFit="1" customWidth="1"/>
    <col min="4" max="4" width="17" bestFit="1" customWidth="1"/>
    <col min="5" max="5" width="28.33203125" bestFit="1" customWidth="1"/>
    <col min="6" max="6" width="29" bestFit="1" customWidth="1"/>
    <col min="7" max="7" width="20.21875" bestFit="1" customWidth="1"/>
    <col min="8" max="8" width="22.109375" bestFit="1" customWidth="1"/>
    <col min="9" max="9" width="20.5546875" bestFit="1" customWidth="1"/>
    <col min="10" max="10" width="16.21875" bestFit="1" customWidth="1"/>
    <col min="11" max="11" width="16.44140625" bestFit="1" customWidth="1"/>
    <col min="12" max="12" width="15.33203125" bestFit="1" customWidth="1"/>
    <col min="13" max="13" width="14.88671875" bestFit="1" customWidth="1"/>
    <col min="14" max="14" width="18.6640625" bestFit="1" customWidth="1"/>
    <col min="15" max="15" width="19.88671875" bestFit="1" customWidth="1"/>
    <col min="16" max="16" width="21.77734375" bestFit="1" customWidth="1"/>
  </cols>
  <sheetData>
    <row r="1" spans="1:16" s="20" customFormat="1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</row>
    <row r="2" spans="1:16">
      <c r="A2" s="2">
        <v>1</v>
      </c>
      <c r="B2" s="2" t="s">
        <v>16</v>
      </c>
      <c r="C2" s="2" t="s">
        <v>17</v>
      </c>
      <c r="D2" s="2" t="s">
        <v>18</v>
      </c>
      <c r="E2" s="2" t="s">
        <v>19</v>
      </c>
      <c r="F2" s="2">
        <v>3</v>
      </c>
      <c r="G2" s="2">
        <v>1</v>
      </c>
      <c r="H2" s="2">
        <v>1</v>
      </c>
      <c r="I2" s="2">
        <v>0.5</v>
      </c>
      <c r="J2" s="2">
        <v>0.5</v>
      </c>
      <c r="K2" s="2" t="s">
        <v>20</v>
      </c>
      <c r="L2" s="2" t="s">
        <v>21</v>
      </c>
      <c r="M2" s="2" t="s">
        <v>22</v>
      </c>
      <c r="N2" s="2" t="s">
        <v>23</v>
      </c>
      <c r="O2" s="2" t="s">
        <v>22</v>
      </c>
      <c r="P2" s="2" t="s">
        <v>24</v>
      </c>
    </row>
    <row r="3" spans="1:16">
      <c r="A3" s="2">
        <v>2</v>
      </c>
      <c r="B3" s="2" t="s">
        <v>25</v>
      </c>
      <c r="C3" s="2" t="s">
        <v>26</v>
      </c>
      <c r="D3" s="2" t="s">
        <v>27</v>
      </c>
      <c r="E3" s="2" t="s">
        <v>28</v>
      </c>
      <c r="F3" s="2"/>
      <c r="G3" s="2">
        <v>3</v>
      </c>
      <c r="H3" s="2">
        <v>1.5</v>
      </c>
      <c r="I3" s="2">
        <v>1</v>
      </c>
      <c r="J3" s="2">
        <v>0.5</v>
      </c>
      <c r="K3" s="2" t="s">
        <v>29</v>
      </c>
      <c r="L3" s="2" t="s">
        <v>21</v>
      </c>
      <c r="M3" s="2" t="s">
        <v>21</v>
      </c>
      <c r="N3" s="2" t="s">
        <v>21</v>
      </c>
      <c r="O3" s="2" t="s">
        <v>21</v>
      </c>
      <c r="P3" s="2" t="s">
        <v>30</v>
      </c>
    </row>
    <row r="4" spans="1:16">
      <c r="A4" s="2">
        <v>3</v>
      </c>
      <c r="B4" s="2" t="s">
        <v>31</v>
      </c>
      <c r="C4" s="2" t="s">
        <v>32</v>
      </c>
      <c r="D4" s="2" t="s">
        <v>33</v>
      </c>
      <c r="E4" s="2" t="s">
        <v>34</v>
      </c>
      <c r="F4" s="2">
        <v>9</v>
      </c>
      <c r="G4" s="2">
        <v>6</v>
      </c>
      <c r="H4" s="2">
        <v>1</v>
      </c>
      <c r="I4" s="2">
        <v>1.5</v>
      </c>
      <c r="J4" s="2">
        <v>0.5</v>
      </c>
      <c r="K4" s="2" t="s">
        <v>35</v>
      </c>
      <c r="L4" s="2" t="s">
        <v>21</v>
      </c>
      <c r="M4" s="2" t="s">
        <v>21</v>
      </c>
      <c r="N4" s="2" t="s">
        <v>21</v>
      </c>
      <c r="O4" s="2" t="s">
        <v>21</v>
      </c>
      <c r="P4" s="2" t="s">
        <v>36</v>
      </c>
    </row>
    <row r="5" spans="1:16" hidden="1">
      <c r="A5" s="2">
        <v>4</v>
      </c>
      <c r="B5" s="2" t="s">
        <v>37</v>
      </c>
      <c r="C5" s="2" t="s">
        <v>38</v>
      </c>
      <c r="D5" s="2" t="s">
        <v>33</v>
      </c>
      <c r="E5" s="2" t="s">
        <v>39</v>
      </c>
      <c r="F5" s="2">
        <v>5</v>
      </c>
      <c r="G5" s="2">
        <v>3</v>
      </c>
      <c r="H5" s="2">
        <v>1</v>
      </c>
      <c r="I5" s="2">
        <v>0.5</v>
      </c>
      <c r="J5" s="2">
        <v>0.5</v>
      </c>
      <c r="K5" s="2" t="s">
        <v>40</v>
      </c>
      <c r="L5" s="2" t="s">
        <v>22</v>
      </c>
      <c r="M5" s="2" t="s">
        <v>22</v>
      </c>
      <c r="N5" s="2" t="s">
        <v>22</v>
      </c>
      <c r="O5" s="2" t="s">
        <v>22</v>
      </c>
      <c r="P5" s="2" t="s">
        <v>41</v>
      </c>
    </row>
    <row r="6" spans="1:16">
      <c r="A6" s="2">
        <v>5</v>
      </c>
      <c r="B6" s="2" t="s">
        <v>42</v>
      </c>
      <c r="C6" s="2" t="s">
        <v>43</v>
      </c>
      <c r="D6" s="2" t="s">
        <v>44</v>
      </c>
      <c r="E6" s="2" t="s">
        <v>45</v>
      </c>
      <c r="F6" s="2">
        <v>4</v>
      </c>
      <c r="G6" s="2">
        <v>0</v>
      </c>
      <c r="H6" s="2">
        <v>2</v>
      </c>
      <c r="I6" s="2">
        <v>1</v>
      </c>
      <c r="J6" s="2">
        <v>0.5</v>
      </c>
      <c r="K6" s="2" t="s">
        <v>46</v>
      </c>
      <c r="L6" s="2" t="s">
        <v>21</v>
      </c>
      <c r="M6" s="2" t="s">
        <v>22</v>
      </c>
      <c r="N6" s="2" t="s">
        <v>22</v>
      </c>
      <c r="O6" s="2" t="s">
        <v>22</v>
      </c>
      <c r="P6" s="2" t="s">
        <v>47</v>
      </c>
    </row>
    <row r="7" spans="1:16">
      <c r="A7" s="2">
        <v>6</v>
      </c>
      <c r="B7" s="2" t="s">
        <v>48</v>
      </c>
      <c r="C7" s="2" t="s">
        <v>32</v>
      </c>
      <c r="D7" s="2" t="s">
        <v>27</v>
      </c>
      <c r="E7" s="2" t="s">
        <v>49</v>
      </c>
      <c r="F7" s="2">
        <v>8</v>
      </c>
      <c r="G7" s="2">
        <v>5</v>
      </c>
      <c r="H7" s="2">
        <v>1</v>
      </c>
      <c r="I7" s="2">
        <v>1.5</v>
      </c>
      <c r="J7" s="2">
        <v>0.5</v>
      </c>
      <c r="K7" s="2" t="s">
        <v>35</v>
      </c>
      <c r="L7" s="2" t="s">
        <v>21</v>
      </c>
      <c r="M7" s="2" t="s">
        <v>21</v>
      </c>
      <c r="N7" s="2" t="s">
        <v>21</v>
      </c>
      <c r="O7" s="2" t="s">
        <v>21</v>
      </c>
      <c r="P7" s="2" t="s">
        <v>50</v>
      </c>
    </row>
    <row r="8" spans="1:16">
      <c r="A8" s="2">
        <v>7</v>
      </c>
      <c r="B8" s="2" t="s">
        <v>51</v>
      </c>
      <c r="C8" s="2" t="s">
        <v>38</v>
      </c>
      <c r="D8" s="2" t="s">
        <v>33</v>
      </c>
      <c r="E8" s="2" t="s">
        <v>52</v>
      </c>
      <c r="F8" s="2">
        <v>7</v>
      </c>
      <c r="G8" s="2">
        <v>4</v>
      </c>
      <c r="H8" s="2">
        <v>2</v>
      </c>
      <c r="I8" s="2">
        <v>0.5</v>
      </c>
      <c r="J8" s="2">
        <v>0.5</v>
      </c>
      <c r="K8" s="2" t="s">
        <v>35</v>
      </c>
      <c r="L8" s="2" t="s">
        <v>21</v>
      </c>
      <c r="M8" s="2" t="s">
        <v>22</v>
      </c>
      <c r="N8" s="2" t="s">
        <v>21</v>
      </c>
      <c r="O8" s="2" t="s">
        <v>21</v>
      </c>
      <c r="P8" s="2" t="s">
        <v>53</v>
      </c>
    </row>
    <row r="9" spans="1:16">
      <c r="A9" s="2">
        <v>8</v>
      </c>
      <c r="B9" s="2" t="s">
        <v>54</v>
      </c>
      <c r="C9" s="2" t="s">
        <v>26</v>
      </c>
      <c r="D9" s="2" t="s">
        <v>18</v>
      </c>
      <c r="E9" s="2" t="s">
        <v>55</v>
      </c>
      <c r="F9" s="2">
        <v>5</v>
      </c>
      <c r="G9" s="2">
        <v>2</v>
      </c>
      <c r="H9" s="2">
        <v>1.5</v>
      </c>
      <c r="I9" s="2">
        <v>1</v>
      </c>
      <c r="J9" s="2">
        <v>0.5</v>
      </c>
      <c r="K9" s="2" t="s">
        <v>56</v>
      </c>
      <c r="L9" s="2" t="s">
        <v>21</v>
      </c>
      <c r="M9" s="2" t="s">
        <v>21</v>
      </c>
      <c r="N9" s="2" t="s">
        <v>23</v>
      </c>
      <c r="O9" s="2" t="s">
        <v>21</v>
      </c>
      <c r="P9" s="2" t="s">
        <v>57</v>
      </c>
    </row>
    <row r="10" spans="1:16" hidden="1">
      <c r="A10" s="2">
        <v>9</v>
      </c>
      <c r="B10" s="2" t="s">
        <v>58</v>
      </c>
      <c r="C10" s="2" t="s">
        <v>43</v>
      </c>
      <c r="D10" s="2" t="s">
        <v>44</v>
      </c>
      <c r="E10" s="2" t="s">
        <v>59</v>
      </c>
      <c r="F10" s="2">
        <v>4</v>
      </c>
      <c r="G10" s="2">
        <v>0</v>
      </c>
      <c r="H10" s="2">
        <v>2</v>
      </c>
      <c r="I10" s="2">
        <v>1</v>
      </c>
      <c r="J10" s="2">
        <v>1</v>
      </c>
      <c r="K10" s="2" t="s">
        <v>46</v>
      </c>
      <c r="L10" s="2" t="s">
        <v>22</v>
      </c>
      <c r="M10" s="2" t="s">
        <v>22</v>
      </c>
      <c r="N10" s="2" t="s">
        <v>22</v>
      </c>
      <c r="O10" s="2" t="s">
        <v>22</v>
      </c>
      <c r="P10" s="2" t="s">
        <v>60</v>
      </c>
    </row>
    <row r="11" spans="1:16">
      <c r="A11" s="2">
        <v>10</v>
      </c>
      <c r="B11" s="2" t="s">
        <v>61</v>
      </c>
      <c r="C11" s="2" t="s">
        <v>32</v>
      </c>
      <c r="D11" s="2" t="s">
        <v>62</v>
      </c>
      <c r="E11" s="2" t="s">
        <v>63</v>
      </c>
      <c r="F11" s="2">
        <v>8</v>
      </c>
      <c r="G11" s="2">
        <v>5</v>
      </c>
      <c r="H11" s="2">
        <v>1</v>
      </c>
      <c r="I11" s="2">
        <v>1.5</v>
      </c>
      <c r="J11" s="2">
        <v>0.5</v>
      </c>
      <c r="K11" s="2" t="s">
        <v>35</v>
      </c>
      <c r="L11" s="2" t="s">
        <v>21</v>
      </c>
      <c r="M11" s="2" t="s">
        <v>21</v>
      </c>
      <c r="N11" s="2" t="s">
        <v>21</v>
      </c>
      <c r="O11" s="2" t="s">
        <v>21</v>
      </c>
      <c r="P11" s="2" t="s">
        <v>64</v>
      </c>
    </row>
    <row r="12" spans="1:16">
      <c r="A12" s="2">
        <v>11</v>
      </c>
      <c r="B12" s="2" t="s">
        <v>65</v>
      </c>
      <c r="C12" s="2" t="s">
        <v>26</v>
      </c>
      <c r="D12" s="2" t="s">
        <v>27</v>
      </c>
      <c r="E12" s="2" t="s">
        <v>66</v>
      </c>
      <c r="F12" s="2">
        <v>6</v>
      </c>
      <c r="G12" s="2">
        <v>3</v>
      </c>
      <c r="H12" s="2">
        <v>1.5</v>
      </c>
      <c r="I12" s="2">
        <v>1</v>
      </c>
      <c r="J12" s="2">
        <v>0.5</v>
      </c>
      <c r="K12" s="2" t="s">
        <v>56</v>
      </c>
      <c r="L12" s="2" t="s">
        <v>21</v>
      </c>
      <c r="M12" s="2" t="s">
        <v>21</v>
      </c>
      <c r="N12" s="2" t="s">
        <v>21</v>
      </c>
      <c r="O12" s="2" t="s">
        <v>21</v>
      </c>
      <c r="P12" s="2" t="s">
        <v>67</v>
      </c>
    </row>
    <row r="13" spans="1:16" hidden="1">
      <c r="A13" s="2">
        <v>12</v>
      </c>
      <c r="B13" s="2" t="s">
        <v>68</v>
      </c>
      <c r="C13" s="2" t="s">
        <v>38</v>
      </c>
      <c r="D13" s="2" t="s">
        <v>33</v>
      </c>
      <c r="E13" s="2" t="s">
        <v>69</v>
      </c>
      <c r="F13" s="2">
        <v>6</v>
      </c>
      <c r="G13" s="2">
        <v>4</v>
      </c>
      <c r="H13" s="2">
        <v>1</v>
      </c>
      <c r="I13" s="2">
        <v>0.5</v>
      </c>
      <c r="J13" s="2">
        <v>0.5</v>
      </c>
      <c r="K13" s="2" t="s">
        <v>40</v>
      </c>
      <c r="L13" s="2" t="s">
        <v>22</v>
      </c>
      <c r="M13" s="2" t="s">
        <v>22</v>
      </c>
      <c r="N13" s="2" t="s">
        <v>22</v>
      </c>
      <c r="O13" s="2" t="s">
        <v>22</v>
      </c>
      <c r="P13" s="2" t="s">
        <v>70</v>
      </c>
    </row>
    <row r="14" spans="1:16">
      <c r="A14" s="2">
        <v>13</v>
      </c>
      <c r="B14" s="2" t="s">
        <v>71</v>
      </c>
      <c r="C14" s="2" t="s">
        <v>32</v>
      </c>
      <c r="D14" s="2" t="s">
        <v>27</v>
      </c>
      <c r="E14" s="2" t="s">
        <v>72</v>
      </c>
      <c r="F14" s="2">
        <v>9</v>
      </c>
      <c r="G14" s="2">
        <v>5</v>
      </c>
      <c r="H14" s="2">
        <v>1.5</v>
      </c>
      <c r="I14" s="2">
        <v>2</v>
      </c>
      <c r="J14" s="2">
        <v>0.5</v>
      </c>
      <c r="K14" s="2" t="s">
        <v>35</v>
      </c>
      <c r="L14" s="2" t="s">
        <v>21</v>
      </c>
      <c r="M14" s="2" t="s">
        <v>21</v>
      </c>
      <c r="N14" s="2" t="s">
        <v>21</v>
      </c>
      <c r="O14" s="2" t="s">
        <v>21</v>
      </c>
      <c r="P14" s="2" t="s">
        <v>73</v>
      </c>
    </row>
    <row r="15" spans="1:16" hidden="1">
      <c r="A15" s="2">
        <v>14</v>
      </c>
      <c r="B15" s="2" t="s">
        <v>74</v>
      </c>
      <c r="C15" s="2" t="s">
        <v>43</v>
      </c>
      <c r="D15" s="2" t="s">
        <v>44</v>
      </c>
      <c r="E15" s="2" t="s">
        <v>75</v>
      </c>
      <c r="F15" s="2">
        <v>3</v>
      </c>
      <c r="G15" s="2">
        <v>0</v>
      </c>
      <c r="H15" s="2">
        <v>2</v>
      </c>
      <c r="I15" s="2">
        <v>0.5</v>
      </c>
      <c r="J15" s="2">
        <v>0.5</v>
      </c>
      <c r="K15" s="2" t="s">
        <v>46</v>
      </c>
      <c r="L15" s="2" t="s">
        <v>22</v>
      </c>
      <c r="M15" s="2" t="s">
        <v>22</v>
      </c>
      <c r="N15" s="2" t="s">
        <v>22</v>
      </c>
      <c r="O15" s="2" t="s">
        <v>22</v>
      </c>
      <c r="P15" s="2" t="s">
        <v>76</v>
      </c>
    </row>
    <row r="16" spans="1:16" hidden="1">
      <c r="A16" s="2">
        <v>15</v>
      </c>
      <c r="B16" s="2" t="s">
        <v>77</v>
      </c>
      <c r="C16" s="2" t="s">
        <v>17</v>
      </c>
      <c r="D16" s="2" t="s">
        <v>18</v>
      </c>
      <c r="E16" s="2" t="s">
        <v>78</v>
      </c>
      <c r="F16" s="2">
        <v>2.5</v>
      </c>
      <c r="G16" s="2">
        <v>1</v>
      </c>
      <c r="H16" s="2">
        <v>1</v>
      </c>
      <c r="I16" s="2">
        <v>0.3</v>
      </c>
      <c r="J16" s="2">
        <v>0.2</v>
      </c>
      <c r="K16" s="2" t="s">
        <v>20</v>
      </c>
      <c r="L16" s="2" t="s">
        <v>22</v>
      </c>
      <c r="M16" s="2" t="s">
        <v>22</v>
      </c>
      <c r="N16" s="2" t="s">
        <v>23</v>
      </c>
      <c r="O16" s="2" t="s">
        <v>22</v>
      </c>
      <c r="P16" s="2" t="s">
        <v>24</v>
      </c>
    </row>
    <row r="17" spans="1:16">
      <c r="A17" s="2">
        <v>16</v>
      </c>
      <c r="B17" s="2" t="s">
        <v>79</v>
      </c>
      <c r="C17" s="2" t="s">
        <v>38</v>
      </c>
      <c r="D17" s="2" t="s">
        <v>33</v>
      </c>
      <c r="E17" s="2" t="s">
        <v>80</v>
      </c>
      <c r="F17" s="2">
        <v>7</v>
      </c>
      <c r="G17" s="2">
        <v>5</v>
      </c>
      <c r="H17" s="2">
        <v>1</v>
      </c>
      <c r="I17" s="2">
        <v>0.5</v>
      </c>
      <c r="J17" s="2">
        <v>0.5</v>
      </c>
      <c r="K17" s="2" t="s">
        <v>35</v>
      </c>
      <c r="L17" s="2" t="s">
        <v>21</v>
      </c>
      <c r="M17" s="2" t="s">
        <v>21</v>
      </c>
      <c r="N17" s="2" t="s">
        <v>21</v>
      </c>
      <c r="O17" s="2" t="s">
        <v>21</v>
      </c>
      <c r="P17" s="2" t="s">
        <v>81</v>
      </c>
    </row>
    <row r="18" spans="1:16">
      <c r="A18" s="2">
        <v>17</v>
      </c>
      <c r="B18" s="2" t="s">
        <v>82</v>
      </c>
      <c r="C18" s="2" t="s">
        <v>32</v>
      </c>
      <c r="D18" s="2" t="s">
        <v>27</v>
      </c>
      <c r="E18" s="2" t="s">
        <v>83</v>
      </c>
      <c r="F18" s="2">
        <v>8</v>
      </c>
      <c r="G18" s="2">
        <v>6</v>
      </c>
      <c r="H18" s="2">
        <v>1</v>
      </c>
      <c r="I18" s="2">
        <v>1</v>
      </c>
      <c r="J18" s="2">
        <v>0</v>
      </c>
      <c r="K18" s="2" t="s">
        <v>35</v>
      </c>
      <c r="L18" s="2" t="s">
        <v>21</v>
      </c>
      <c r="M18" s="2" t="s">
        <v>21</v>
      </c>
      <c r="N18" s="2" t="s">
        <v>21</v>
      </c>
      <c r="O18" s="2" t="s">
        <v>21</v>
      </c>
      <c r="P18" s="2" t="s">
        <v>84</v>
      </c>
    </row>
    <row r="19" spans="1:16" hidden="1">
      <c r="A19" s="2">
        <v>18</v>
      </c>
      <c r="B19" s="2" t="s">
        <v>85</v>
      </c>
      <c r="C19" s="2" t="s">
        <v>43</v>
      </c>
      <c r="D19" s="2" t="s">
        <v>44</v>
      </c>
      <c r="E19" s="2" t="s">
        <v>86</v>
      </c>
      <c r="F19" s="2">
        <v>3</v>
      </c>
      <c r="G19" s="2">
        <v>0</v>
      </c>
      <c r="H19" s="2">
        <v>1.5</v>
      </c>
      <c r="I19" s="2">
        <v>1</v>
      </c>
      <c r="J19" s="2">
        <v>0.5</v>
      </c>
      <c r="K19" s="2" t="s">
        <v>87</v>
      </c>
      <c r="L19" s="2" t="s">
        <v>22</v>
      </c>
      <c r="M19" s="2" t="s">
        <v>22</v>
      </c>
      <c r="N19" s="2" t="s">
        <v>22</v>
      </c>
      <c r="O19" s="2" t="s">
        <v>22</v>
      </c>
      <c r="P19" s="2" t="s">
        <v>88</v>
      </c>
    </row>
    <row r="20" spans="1:16">
      <c r="A20" s="2">
        <v>19</v>
      </c>
      <c r="B20" s="2" t="s">
        <v>89</v>
      </c>
      <c r="C20" s="2" t="s">
        <v>26</v>
      </c>
      <c r="D20" s="2" t="s">
        <v>18</v>
      </c>
      <c r="E20" s="2" t="s">
        <v>90</v>
      </c>
      <c r="F20" s="2">
        <v>5.5</v>
      </c>
      <c r="G20" s="2">
        <v>3</v>
      </c>
      <c r="H20" s="2">
        <v>1</v>
      </c>
      <c r="I20" s="2">
        <v>1</v>
      </c>
      <c r="J20" s="2">
        <v>0.5</v>
      </c>
      <c r="K20" s="2" t="s">
        <v>56</v>
      </c>
      <c r="L20" s="2" t="s">
        <v>21</v>
      </c>
      <c r="M20" s="2" t="s">
        <v>21</v>
      </c>
      <c r="N20" s="2" t="s">
        <v>21</v>
      </c>
      <c r="O20" s="2" t="s">
        <v>21</v>
      </c>
      <c r="P20" s="2" t="s">
        <v>91</v>
      </c>
    </row>
    <row r="21" spans="1:16">
      <c r="A21" s="2">
        <v>20</v>
      </c>
      <c r="B21" s="2" t="s">
        <v>92</v>
      </c>
      <c r="C21" s="2" t="s">
        <v>32</v>
      </c>
      <c r="D21" s="2" t="s">
        <v>33</v>
      </c>
      <c r="E21" s="2" t="s">
        <v>93</v>
      </c>
      <c r="F21" s="2">
        <v>7</v>
      </c>
      <c r="G21" s="2">
        <v>5</v>
      </c>
      <c r="H21" s="2">
        <v>1</v>
      </c>
      <c r="I21" s="2">
        <v>0.5</v>
      </c>
      <c r="J21" s="2">
        <v>0.5</v>
      </c>
      <c r="K21" s="2" t="s">
        <v>35</v>
      </c>
      <c r="L21" s="2" t="s">
        <v>21</v>
      </c>
      <c r="M21" s="2" t="s">
        <v>21</v>
      </c>
      <c r="N21" s="2" t="s">
        <v>21</v>
      </c>
      <c r="O21" s="2" t="s">
        <v>21</v>
      </c>
      <c r="P21" s="2" t="s">
        <v>53</v>
      </c>
    </row>
    <row r="22" spans="1:16">
      <c r="A22" s="2">
        <v>21</v>
      </c>
      <c r="B22" s="2" t="s">
        <v>94</v>
      </c>
      <c r="C22" s="2" t="s">
        <v>38</v>
      </c>
      <c r="D22" s="2" t="s">
        <v>33</v>
      </c>
      <c r="E22" s="2" t="s">
        <v>95</v>
      </c>
      <c r="F22" s="2">
        <v>6</v>
      </c>
      <c r="G22" s="2">
        <v>4</v>
      </c>
      <c r="H22" s="2">
        <v>1</v>
      </c>
      <c r="I22" s="2">
        <v>0.5</v>
      </c>
      <c r="J22" s="2">
        <v>0.5</v>
      </c>
      <c r="K22" s="2" t="s">
        <v>40</v>
      </c>
      <c r="L22" s="2" t="s">
        <v>21</v>
      </c>
      <c r="M22" s="2" t="s">
        <v>22</v>
      </c>
      <c r="N22" s="2" t="s">
        <v>22</v>
      </c>
      <c r="O22" s="2" t="s">
        <v>22</v>
      </c>
      <c r="P22" s="2" t="s">
        <v>76</v>
      </c>
    </row>
    <row r="23" spans="1:16" hidden="1">
      <c r="A23" s="2">
        <v>22</v>
      </c>
      <c r="B23" s="2" t="s">
        <v>96</v>
      </c>
      <c r="C23" s="2" t="s">
        <v>43</v>
      </c>
      <c r="D23" s="2" t="s">
        <v>44</v>
      </c>
      <c r="E23" s="2" t="s">
        <v>97</v>
      </c>
      <c r="F23" s="2">
        <v>3</v>
      </c>
      <c r="G23" s="2">
        <v>0</v>
      </c>
      <c r="H23" s="2">
        <v>1.5</v>
      </c>
      <c r="I23" s="2">
        <v>1</v>
      </c>
      <c r="J23" s="2">
        <v>0.5</v>
      </c>
      <c r="K23" s="2" t="s">
        <v>87</v>
      </c>
      <c r="L23" s="2" t="s">
        <v>22</v>
      </c>
      <c r="M23" s="2" t="s">
        <v>22</v>
      </c>
      <c r="N23" s="2" t="s">
        <v>22</v>
      </c>
      <c r="O23" s="2" t="s">
        <v>22</v>
      </c>
      <c r="P23" s="2" t="s">
        <v>60</v>
      </c>
    </row>
    <row r="24" spans="1:16">
      <c r="A24" s="2">
        <v>23</v>
      </c>
      <c r="B24" s="2" t="s">
        <v>98</v>
      </c>
      <c r="C24" s="2" t="s">
        <v>32</v>
      </c>
      <c r="D24" s="2" t="s">
        <v>99</v>
      </c>
      <c r="E24" s="2" t="s">
        <v>100</v>
      </c>
      <c r="F24" s="2">
        <v>9</v>
      </c>
      <c r="G24" s="2">
        <v>5</v>
      </c>
      <c r="H24" s="2">
        <v>1.5</v>
      </c>
      <c r="I24" s="2">
        <v>2</v>
      </c>
      <c r="J24" s="2">
        <v>0.5</v>
      </c>
      <c r="K24" s="2" t="s">
        <v>35</v>
      </c>
      <c r="L24" s="2" t="s">
        <v>21</v>
      </c>
      <c r="M24" s="2" t="s">
        <v>21</v>
      </c>
      <c r="N24" s="2" t="s">
        <v>21</v>
      </c>
      <c r="O24" s="2" t="s">
        <v>21</v>
      </c>
      <c r="P24" s="2" t="s">
        <v>50</v>
      </c>
    </row>
    <row r="25" spans="1:16" hidden="1">
      <c r="A25" s="2">
        <v>24</v>
      </c>
      <c r="B25" s="2" t="s">
        <v>101</v>
      </c>
      <c r="C25" s="2" t="s">
        <v>38</v>
      </c>
      <c r="D25" s="2" t="s">
        <v>33</v>
      </c>
      <c r="E25" s="2" t="s">
        <v>102</v>
      </c>
      <c r="F25" s="2">
        <v>5</v>
      </c>
      <c r="G25" s="2">
        <v>3</v>
      </c>
      <c r="H25" s="2">
        <v>1.5</v>
      </c>
      <c r="I25" s="2">
        <v>0.5</v>
      </c>
      <c r="J25" s="2">
        <v>0.5</v>
      </c>
      <c r="K25" s="2" t="s">
        <v>87</v>
      </c>
      <c r="L25" s="2" t="s">
        <v>22</v>
      </c>
      <c r="M25" s="2" t="s">
        <v>22</v>
      </c>
      <c r="N25" s="2" t="s">
        <v>22</v>
      </c>
      <c r="O25" s="2" t="s">
        <v>22</v>
      </c>
      <c r="P25" s="2" t="s">
        <v>47</v>
      </c>
    </row>
    <row r="26" spans="1:16" hidden="1">
      <c r="A26" s="2">
        <v>25</v>
      </c>
      <c r="B26" s="2" t="s">
        <v>103</v>
      </c>
      <c r="C26" s="2" t="s">
        <v>43</v>
      </c>
      <c r="D26" s="2" t="s">
        <v>44</v>
      </c>
      <c r="E26" s="2" t="s">
        <v>104</v>
      </c>
      <c r="F26" s="2">
        <v>3</v>
      </c>
      <c r="G26" s="2">
        <v>0</v>
      </c>
      <c r="H26" s="2">
        <v>1.5</v>
      </c>
      <c r="I26" s="2">
        <v>1</v>
      </c>
      <c r="J26" s="2">
        <v>0.5</v>
      </c>
      <c r="K26" s="2" t="s">
        <v>87</v>
      </c>
      <c r="L26" s="2" t="s">
        <v>22</v>
      </c>
      <c r="M26" s="2" t="s">
        <v>22</v>
      </c>
      <c r="N26" s="2" t="s">
        <v>22</v>
      </c>
      <c r="O26" s="2" t="s">
        <v>22</v>
      </c>
      <c r="P26" s="2" t="s">
        <v>105</v>
      </c>
    </row>
    <row r="27" spans="1:16">
      <c r="A27" s="2">
        <v>26</v>
      </c>
      <c r="B27" s="2" t="s">
        <v>106</v>
      </c>
      <c r="C27" s="2" t="s">
        <v>26</v>
      </c>
      <c r="D27" s="2" t="s">
        <v>27</v>
      </c>
      <c r="E27" s="2" t="s">
        <v>107</v>
      </c>
      <c r="F27" s="2">
        <v>6.5</v>
      </c>
      <c r="G27" s="2">
        <v>3.5</v>
      </c>
      <c r="H27" s="2">
        <v>1.5</v>
      </c>
      <c r="I27" s="2">
        <v>1</v>
      </c>
      <c r="J27" s="2">
        <v>0.5</v>
      </c>
      <c r="K27" s="2" t="s">
        <v>29</v>
      </c>
      <c r="L27" s="2" t="s">
        <v>21</v>
      </c>
      <c r="M27" s="2" t="s">
        <v>21</v>
      </c>
      <c r="N27" s="2" t="s">
        <v>21</v>
      </c>
      <c r="O27" s="2" t="s">
        <v>21</v>
      </c>
      <c r="P27" s="2" t="s">
        <v>108</v>
      </c>
    </row>
    <row r="28" spans="1:16" hidden="1">
      <c r="A28" s="2">
        <v>27</v>
      </c>
      <c r="B28" s="2" t="s">
        <v>109</v>
      </c>
      <c r="C28" s="2" t="s">
        <v>17</v>
      </c>
      <c r="D28" s="2" t="s">
        <v>18</v>
      </c>
      <c r="E28" s="2" t="s">
        <v>110</v>
      </c>
      <c r="F28" s="2">
        <v>2</v>
      </c>
      <c r="G28" s="2">
        <v>1</v>
      </c>
      <c r="H28" s="2">
        <v>0.7</v>
      </c>
      <c r="I28" s="2">
        <v>0.2</v>
      </c>
      <c r="J28" s="2">
        <v>0.1</v>
      </c>
      <c r="K28" s="2" t="s">
        <v>20</v>
      </c>
      <c r="L28" s="2" t="s">
        <v>22</v>
      </c>
      <c r="M28" s="2" t="s">
        <v>22</v>
      </c>
      <c r="N28" s="2" t="s">
        <v>23</v>
      </c>
      <c r="O28" s="2" t="s">
        <v>22</v>
      </c>
      <c r="P28" s="2" t="s">
        <v>111</v>
      </c>
    </row>
    <row r="29" spans="1:16">
      <c r="A29" s="2">
        <v>28</v>
      </c>
      <c r="B29" s="2" t="s">
        <v>112</v>
      </c>
      <c r="C29" s="2" t="s">
        <v>38</v>
      </c>
      <c r="D29" s="2" t="s">
        <v>33</v>
      </c>
      <c r="E29" s="2" t="s">
        <v>113</v>
      </c>
      <c r="F29" s="2">
        <v>6.5</v>
      </c>
      <c r="G29" s="2">
        <v>4.5</v>
      </c>
      <c r="H29" s="2">
        <v>1</v>
      </c>
      <c r="I29" s="2">
        <v>0.5</v>
      </c>
      <c r="J29" s="2">
        <v>0.5</v>
      </c>
      <c r="K29" s="2" t="s">
        <v>35</v>
      </c>
      <c r="L29" s="2" t="s">
        <v>21</v>
      </c>
      <c r="M29" s="2" t="s">
        <v>22</v>
      </c>
      <c r="N29" s="2" t="s">
        <v>22</v>
      </c>
      <c r="O29" s="2" t="s">
        <v>22</v>
      </c>
      <c r="P29" s="2" t="s">
        <v>36</v>
      </c>
    </row>
    <row r="30" spans="1:16" hidden="1">
      <c r="A30" s="2">
        <v>29</v>
      </c>
      <c r="B30" s="2" t="s">
        <v>114</v>
      </c>
      <c r="C30" s="2" t="s">
        <v>43</v>
      </c>
      <c r="D30" s="2" t="s">
        <v>44</v>
      </c>
      <c r="E30" s="2" t="s">
        <v>115</v>
      </c>
      <c r="F30" s="2">
        <v>4</v>
      </c>
      <c r="G30" s="2">
        <v>0</v>
      </c>
      <c r="H30" s="2">
        <v>2</v>
      </c>
      <c r="I30" s="2">
        <v>1</v>
      </c>
      <c r="J30" s="2">
        <v>1</v>
      </c>
      <c r="K30" s="2" t="s">
        <v>87</v>
      </c>
      <c r="L30" s="2" t="s">
        <v>22</v>
      </c>
      <c r="M30" s="2" t="s">
        <v>22</v>
      </c>
      <c r="N30" s="2" t="s">
        <v>22</v>
      </c>
      <c r="O30" s="2" t="s">
        <v>22</v>
      </c>
      <c r="P30" s="2" t="s">
        <v>116</v>
      </c>
    </row>
    <row r="31" spans="1:16">
      <c r="A31" s="2">
        <v>30</v>
      </c>
      <c r="B31" s="2" t="s">
        <v>117</v>
      </c>
      <c r="C31" s="2" t="s">
        <v>32</v>
      </c>
      <c r="D31" s="2" t="s">
        <v>27</v>
      </c>
      <c r="E31" s="2" t="s">
        <v>118</v>
      </c>
      <c r="F31" s="2">
        <v>8.5</v>
      </c>
      <c r="G31" s="2">
        <v>5</v>
      </c>
      <c r="H31" s="2">
        <v>1</v>
      </c>
      <c r="I31" s="2">
        <v>2</v>
      </c>
      <c r="J31" s="2">
        <v>0.5</v>
      </c>
      <c r="K31" s="2" t="s">
        <v>35</v>
      </c>
      <c r="L31" s="2" t="s">
        <v>21</v>
      </c>
      <c r="M31" s="2" t="s">
        <v>21</v>
      </c>
      <c r="N31" s="2" t="s">
        <v>21</v>
      </c>
      <c r="O31" s="2" t="s">
        <v>21</v>
      </c>
      <c r="P31" s="2" t="s">
        <v>119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C59DD-DAD7-4F2C-AE77-20D2A1D64942}">
  <dimension ref="A1:J32"/>
  <sheetViews>
    <sheetView tabSelected="1" workbookViewId="0">
      <selection activeCell="D11" sqref="D11"/>
    </sheetView>
  </sheetViews>
  <sheetFormatPr defaultRowHeight="14.4"/>
  <cols>
    <col min="1" max="1" width="38" bestFit="1" customWidth="1"/>
    <col min="2" max="2" width="28.77734375" customWidth="1"/>
    <col min="3" max="3" width="23.88671875" bestFit="1" customWidth="1"/>
    <col min="6" max="6" width="32" customWidth="1"/>
    <col min="7" max="7" width="40.33203125" customWidth="1"/>
    <col min="9" max="9" width="26.33203125" bestFit="1" customWidth="1"/>
  </cols>
  <sheetData>
    <row r="1" spans="1:10" ht="15.6">
      <c r="A1" s="6" t="s">
        <v>121</v>
      </c>
      <c r="B1" s="5"/>
    </row>
    <row r="2" spans="1:10">
      <c r="A2" s="1" t="s">
        <v>2</v>
      </c>
      <c r="B2" s="1" t="s">
        <v>120</v>
      </c>
      <c r="C2" s="7" t="s">
        <v>133</v>
      </c>
      <c r="D2" s="8">
        <f>AVERAGE(C3,C4,C5)</f>
        <v>2.5</v>
      </c>
      <c r="F2" s="11" t="s">
        <v>134</v>
      </c>
      <c r="G2" s="8">
        <f>AVERAGE(F3,F4,F5,F6,F7)</f>
        <v>5.8</v>
      </c>
      <c r="I2" s="11" t="s">
        <v>135</v>
      </c>
      <c r="J2" s="8">
        <f>AVERAGE(I3,I4,I5,I6,I7,I8,I9,I10)</f>
        <v>8.3125</v>
      </c>
    </row>
    <row r="3" spans="1:10">
      <c r="A3" s="2" t="s">
        <v>17</v>
      </c>
      <c r="B3" s="4">
        <v>2.5</v>
      </c>
      <c r="C3" s="9">
        <v>3</v>
      </c>
      <c r="D3" s="10"/>
      <c r="F3" s="9">
        <v>6</v>
      </c>
      <c r="G3" s="10"/>
      <c r="I3" s="9">
        <v>9</v>
      </c>
      <c r="J3" s="10"/>
    </row>
    <row r="4" spans="1:10">
      <c r="A4" s="2" t="s">
        <v>26</v>
      </c>
      <c r="B4" s="4">
        <v>5.8</v>
      </c>
      <c r="C4" s="9">
        <v>2.5</v>
      </c>
      <c r="D4" s="10"/>
      <c r="F4" s="9">
        <v>5</v>
      </c>
      <c r="G4" s="10"/>
      <c r="I4" s="9">
        <v>8</v>
      </c>
      <c r="J4" s="10"/>
    </row>
    <row r="5" spans="1:10">
      <c r="A5" s="2" t="s">
        <v>32</v>
      </c>
      <c r="B5" s="4">
        <v>8.31</v>
      </c>
      <c r="C5" s="9">
        <v>2</v>
      </c>
      <c r="D5" s="10"/>
      <c r="F5" s="9">
        <v>6</v>
      </c>
      <c r="G5" s="10"/>
      <c r="I5" s="9">
        <v>8</v>
      </c>
      <c r="J5" s="10"/>
    </row>
    <row r="6" spans="1:10">
      <c r="A6" s="2" t="s">
        <v>38</v>
      </c>
      <c r="B6" s="4">
        <v>6.07</v>
      </c>
      <c r="C6" s="10"/>
      <c r="D6" s="10"/>
      <c r="F6" s="9">
        <v>5.5</v>
      </c>
      <c r="G6" s="10"/>
      <c r="I6" s="9">
        <v>9</v>
      </c>
      <c r="J6" s="10"/>
    </row>
    <row r="7" spans="1:10">
      <c r="A7" s="2" t="s">
        <v>43</v>
      </c>
      <c r="B7" s="4">
        <v>3.43</v>
      </c>
      <c r="C7" s="10"/>
      <c r="D7" s="10"/>
      <c r="F7" s="9">
        <v>6.5</v>
      </c>
      <c r="G7" s="10"/>
      <c r="I7" s="9">
        <v>8</v>
      </c>
      <c r="J7" s="10"/>
    </row>
    <row r="8" spans="1:10">
      <c r="I8" s="9">
        <v>7</v>
      </c>
      <c r="J8" s="10"/>
    </row>
    <row r="9" spans="1:10" ht="15.6">
      <c r="A9" s="6" t="s">
        <v>122</v>
      </c>
      <c r="B9" s="5"/>
      <c r="I9" s="9">
        <v>9</v>
      </c>
      <c r="J9" s="10"/>
    </row>
    <row r="10" spans="1:10">
      <c r="A10" s="3" t="s">
        <v>125</v>
      </c>
      <c r="B10" s="3" t="s">
        <v>126</v>
      </c>
      <c r="I10" s="9">
        <v>8.5</v>
      </c>
      <c r="J10" s="10"/>
    </row>
    <row r="11" spans="1:10">
      <c r="A11" s="3" t="s">
        <v>123</v>
      </c>
      <c r="B11" s="3">
        <v>2.9</v>
      </c>
    </row>
    <row r="12" spans="1:10">
      <c r="A12" s="3" t="s">
        <v>124</v>
      </c>
      <c r="B12" s="3">
        <v>1.32</v>
      </c>
      <c r="F12" s="8" t="s">
        <v>137</v>
      </c>
      <c r="G12" s="8" t="s">
        <v>138</v>
      </c>
    </row>
    <row r="13" spans="1:10">
      <c r="C13" s="8" t="s">
        <v>136</v>
      </c>
      <c r="D13" s="8">
        <f>COUNTA(C14,C15,C16,C17,C18,C19,C20,C21,C22,C23,C24,C25,C26,C27,C28,C29,C30,C31,C32)</f>
        <v>19</v>
      </c>
      <c r="F13" s="10">
        <f>AVERAGE('Section 1 - Clean Data'!G2:G31)</f>
        <v>2.9</v>
      </c>
      <c r="G13" s="21">
        <f>AVERAGE('Section 1 - Clean Data'!H2:H31)</f>
        <v>1.3233333333333335</v>
      </c>
    </row>
    <row r="14" spans="1:10" ht="15.6">
      <c r="A14" s="6" t="s">
        <v>125</v>
      </c>
      <c r="B14" s="3" t="s">
        <v>126</v>
      </c>
      <c r="C14" s="9" t="s">
        <v>16</v>
      </c>
      <c r="D14" s="10"/>
    </row>
    <row r="15" spans="1:10" ht="15.6">
      <c r="A15" s="6" t="s">
        <v>141</v>
      </c>
      <c r="B15" s="3" t="s">
        <v>127</v>
      </c>
      <c r="C15" s="9" t="s">
        <v>25</v>
      </c>
      <c r="D15" s="10"/>
    </row>
    <row r="16" spans="1:10" ht="15.6">
      <c r="A16" s="6" t="s">
        <v>142</v>
      </c>
      <c r="B16" s="3" t="s">
        <v>128</v>
      </c>
      <c r="C16" s="9" t="s">
        <v>31</v>
      </c>
      <c r="D16" s="10"/>
      <c r="F16" s="17" t="s">
        <v>141</v>
      </c>
      <c r="G16" s="17" t="s">
        <v>142</v>
      </c>
    </row>
    <row r="17" spans="1:7">
      <c r="C17" s="9" t="s">
        <v>42</v>
      </c>
      <c r="D17" s="10"/>
      <c r="F17" s="18">
        <v>0.63</v>
      </c>
      <c r="G17" s="18">
        <v>0.47</v>
      </c>
    </row>
    <row r="18" spans="1:7">
      <c r="C18" s="9" t="s">
        <v>48</v>
      </c>
      <c r="D18" s="10"/>
    </row>
    <row r="19" spans="1:7">
      <c r="C19" s="9" t="s">
        <v>51</v>
      </c>
      <c r="D19" s="10"/>
    </row>
    <row r="20" spans="1:7" ht="15.6">
      <c r="A20" s="14" t="s">
        <v>10</v>
      </c>
      <c r="B20" s="14" t="s">
        <v>140</v>
      </c>
      <c r="C20" s="9" t="s">
        <v>54</v>
      </c>
      <c r="D20" s="10"/>
    </row>
    <row r="21" spans="1:7">
      <c r="A21" t="s">
        <v>129</v>
      </c>
      <c r="B21">
        <v>24</v>
      </c>
      <c r="C21" s="9" t="s">
        <v>61</v>
      </c>
      <c r="D21" s="10"/>
    </row>
    <row r="22" spans="1:7">
      <c r="A22" t="s">
        <v>130</v>
      </c>
      <c r="B22">
        <v>16</v>
      </c>
      <c r="C22" s="9" t="s">
        <v>65</v>
      </c>
      <c r="D22" s="10"/>
    </row>
    <row r="23" spans="1:7">
      <c r="A23" t="s">
        <v>131</v>
      </c>
      <c r="B23">
        <v>14</v>
      </c>
      <c r="C23" s="9" t="s">
        <v>71</v>
      </c>
      <c r="D23" s="10"/>
    </row>
    <row r="24" spans="1:7">
      <c r="A24" t="s">
        <v>132</v>
      </c>
      <c r="B24">
        <v>16</v>
      </c>
      <c r="C24" s="9" t="s">
        <v>79</v>
      </c>
      <c r="D24" s="10"/>
    </row>
    <row r="25" spans="1:7">
      <c r="A25" s="3"/>
      <c r="C25" s="9" t="s">
        <v>82</v>
      </c>
      <c r="D25" s="10"/>
    </row>
    <row r="26" spans="1:7">
      <c r="C26" s="9" t="s">
        <v>89</v>
      </c>
      <c r="D26" s="10"/>
    </row>
    <row r="27" spans="1:7">
      <c r="C27" s="9" t="s">
        <v>92</v>
      </c>
      <c r="D27" s="10"/>
    </row>
    <row r="28" spans="1:7">
      <c r="C28" s="9" t="s">
        <v>94</v>
      </c>
      <c r="D28" s="10"/>
    </row>
    <row r="29" spans="1:7">
      <c r="C29" s="9" t="s">
        <v>98</v>
      </c>
      <c r="D29" s="10"/>
    </row>
    <row r="30" spans="1:7">
      <c r="C30" s="9" t="s">
        <v>106</v>
      </c>
      <c r="D30" s="10"/>
    </row>
    <row r="31" spans="1:7">
      <c r="C31" s="9" t="s">
        <v>112</v>
      </c>
      <c r="D31" s="10"/>
    </row>
    <row r="32" spans="1:7">
      <c r="C32" s="9" t="s">
        <v>117</v>
      </c>
      <c r="D32" s="10"/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FE79F-5F6E-45D3-92F4-7CD38E7FE7B7}">
  <dimension ref="A1:N31"/>
  <sheetViews>
    <sheetView showGridLines="0" workbookViewId="0">
      <selection activeCell="N8" sqref="N8"/>
    </sheetView>
  </sheetViews>
  <sheetFormatPr defaultRowHeight="14.4"/>
  <cols>
    <col min="1" max="1" width="10.6640625" bestFit="1" customWidth="1"/>
    <col min="2" max="2" width="24.77734375" customWidth="1"/>
    <col min="9" max="9" width="8.88671875" customWidth="1"/>
    <col min="14" max="14" width="11.77734375" bestFit="1" customWidth="1"/>
  </cols>
  <sheetData>
    <row r="1" spans="1:14" ht="28.8">
      <c r="A1" s="16" t="s">
        <v>139</v>
      </c>
      <c r="B1" s="15"/>
      <c r="C1" s="15"/>
      <c r="D1" s="15"/>
      <c r="E1" s="15"/>
      <c r="F1" s="15"/>
      <c r="G1" s="15"/>
      <c r="H1" s="15"/>
      <c r="I1" s="15"/>
      <c r="J1" s="5"/>
      <c r="K1" s="5"/>
      <c r="L1" s="5"/>
    </row>
    <row r="2" spans="1:14">
      <c r="A2" s="1"/>
      <c r="B2" s="1"/>
      <c r="N2" s="2"/>
    </row>
    <row r="3" spans="1:14">
      <c r="A3" s="2"/>
      <c r="B3" s="4"/>
      <c r="N3" s="2"/>
    </row>
    <row r="4" spans="1:14">
      <c r="A4" s="2"/>
      <c r="B4" s="4"/>
      <c r="N4" s="2"/>
    </row>
    <row r="5" spans="1:14">
      <c r="A5" s="2"/>
      <c r="B5" s="4"/>
      <c r="N5" s="2"/>
    </row>
    <row r="6" spans="1:14">
      <c r="A6" s="2"/>
      <c r="B6" s="4"/>
      <c r="N6" s="2"/>
    </row>
    <row r="7" spans="1:14">
      <c r="A7" s="2"/>
      <c r="B7" s="4"/>
      <c r="N7" s="2"/>
    </row>
    <row r="8" spans="1:14">
      <c r="N8" s="2"/>
    </row>
    <row r="9" spans="1:14">
      <c r="N9" s="2"/>
    </row>
    <row r="10" spans="1:14">
      <c r="N10" s="2"/>
    </row>
    <row r="11" spans="1:14">
      <c r="N11" s="2"/>
    </row>
    <row r="12" spans="1:14">
      <c r="N12" s="2"/>
    </row>
    <row r="13" spans="1:14">
      <c r="N13" s="2"/>
    </row>
    <row r="14" spans="1:14">
      <c r="N14" s="2"/>
    </row>
    <row r="15" spans="1:14" ht="15.6">
      <c r="A15" s="12"/>
      <c r="B15" s="13"/>
      <c r="N15" s="2"/>
    </row>
    <row r="16" spans="1:14">
      <c r="A16" s="3"/>
      <c r="B16" s="3"/>
      <c r="N16" s="2"/>
    </row>
    <row r="17" spans="1:14">
      <c r="A17" s="3"/>
      <c r="N17" s="2"/>
    </row>
    <row r="18" spans="1:14">
      <c r="A18" s="3"/>
      <c r="N18" s="2"/>
    </row>
    <row r="19" spans="1:14">
      <c r="A19" s="3"/>
      <c r="N19" s="2"/>
    </row>
    <row r="20" spans="1:14">
      <c r="A20" s="3"/>
      <c r="N20" s="2"/>
    </row>
    <row r="21" spans="1:14">
      <c r="N21" s="2"/>
    </row>
    <row r="22" spans="1:14">
      <c r="N22" s="2"/>
    </row>
    <row r="23" spans="1:14">
      <c r="N23" s="2"/>
    </row>
    <row r="24" spans="1:14">
      <c r="N24" s="2"/>
    </row>
    <row r="25" spans="1:14">
      <c r="N25" s="2"/>
    </row>
    <row r="26" spans="1:14">
      <c r="N26" s="2"/>
    </row>
    <row r="27" spans="1:14">
      <c r="N27" s="2"/>
    </row>
    <row r="28" spans="1:14">
      <c r="N28" s="2"/>
    </row>
    <row r="29" spans="1:14">
      <c r="N29" s="2"/>
    </row>
    <row r="30" spans="1:14">
      <c r="N30" s="2"/>
    </row>
    <row r="31" spans="1:14">
      <c r="N31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Section 1 - Clean Data</vt:lpstr>
      <vt:lpstr>Section 2 - Analyze</vt:lpstr>
      <vt:lpstr>Section 3 - 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Ekta Joshi</dc:creator>
  <cp:lastModifiedBy>Ekta Joshi</cp:lastModifiedBy>
  <dcterms:created xsi:type="dcterms:W3CDTF">2025-08-02T16:13:33Z</dcterms:created>
  <dcterms:modified xsi:type="dcterms:W3CDTF">2025-08-05T16:39:41Z</dcterms:modified>
</cp:coreProperties>
</file>